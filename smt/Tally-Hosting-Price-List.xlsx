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  <sheet xmlns:r="http://schemas.openxmlformats.org/officeDocument/2006/relationships" name="Calculat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* #,##0_-;[Red]-#,##0;_-* &quot;-&quot;_-;_-@_-"/>
  </numFmts>
  <fonts count="13">
    <font>
      <name val="Calibri"/>
      <family val="2"/>
      <color theme="1"/>
      <sz val="11"/>
      <scheme val="minor"/>
    </font>
    <font>
      <name val="Calibri"/>
      <b val="1"/>
      <color rgb="000A1F3F"/>
      <sz val="16"/>
    </font>
    <font>
      <name val="Calibri"/>
      <i val="1"/>
      <color rgb="005B6677"/>
      <sz val="10"/>
    </font>
    <font>
      <name val="Calibri"/>
      <i val="1"/>
      <color rgb="00B45309"/>
      <sz val="9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0A1F3F"/>
      <sz val="10"/>
    </font>
    <font>
      <name val="Calibri"/>
      <color rgb="000A1F3F"/>
      <sz val="10"/>
    </font>
    <font>
      <name val="Calibri"/>
      <b val="1"/>
      <color rgb="00F7D840"/>
      <sz val="11"/>
    </font>
    <font>
      <name val="Calibri"/>
      <b val="1"/>
      <color rgb="000A1F3F"/>
      <sz val="11"/>
    </font>
    <font>
      <name val="Calibri"/>
      <color rgb="005B6677"/>
      <sz val="9"/>
    </font>
    <font>
      <name val="Calibri"/>
      <b val="1"/>
      <color rgb="000A1F3F"/>
      <sz val="14"/>
    </font>
    <font>
      <name val="Calibri"/>
      <b val="1"/>
      <color rgb="00F7D840"/>
      <sz val="10"/>
    </font>
  </fonts>
  <fills count="6">
    <fill>
      <patternFill/>
    </fill>
    <fill>
      <patternFill patternType="gray125"/>
    </fill>
    <fill>
      <patternFill patternType="solid">
        <fgColor rgb="0000A551"/>
      </patternFill>
    </fill>
    <fill>
      <patternFill patternType="solid">
        <fgColor rgb="000A1F3F"/>
      </patternFill>
    </fill>
    <fill>
      <patternFill patternType="solid">
        <fgColor rgb="00F8FAFC"/>
      </patternFill>
    </fill>
    <fill>
      <patternFill patternType="solid">
        <fgColor rgb="00F7D840"/>
      </patternFill>
    </fill>
  </fills>
  <borders count="2">
    <border>
      <left/>
      <right/>
      <top/>
      <bottom/>
      <diagonal/>
    </border>
    <border>
      <left style="thin">
        <color rgb="00E3E7EE"/>
      </left>
      <right style="thin">
        <color rgb="00E3E7EE"/>
      </right>
      <top style="thin">
        <color rgb="00E3E7EE"/>
      </top>
      <bottom style="thin">
        <color rgb="00E3E7E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164" fontId="7" fillId="4" borderId="1" applyAlignment="1" pivotButton="0" quotePrefix="0" xfId="0">
      <alignment horizontal="right" vertical="center" wrapText="1"/>
    </xf>
    <xf numFmtId="0" fontId="7" fillId="4" borderId="1" applyAlignment="1" pivotButton="0" quotePrefix="0" xfId="0">
      <alignment horizontal="right" vertical="center" wrapText="1"/>
    </xf>
    <xf numFmtId="0" fontId="8" fillId="3" borderId="1" applyAlignment="1" pivotButton="0" quotePrefix="0" xfId="0">
      <alignment horizontal="left" vertical="center" wrapText="1"/>
    </xf>
    <xf numFmtId="164" fontId="8" fillId="3" borderId="1" applyAlignment="1" pivotButton="0" quotePrefix="0" xfId="0">
      <alignment horizontal="right" vertical="center" wrapText="1"/>
    </xf>
    <xf numFmtId="0" fontId="8" fillId="3" borderId="1" applyAlignment="1" pivotButton="0" quotePrefix="0" xfId="0">
      <alignment horizontal="right" vertical="center" wrapText="1"/>
    </xf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 wrapText="1"/>
    </xf>
    <xf numFmtId="0" fontId="12" fillId="3" borderId="1" applyAlignment="1" pivotButton="0" quotePrefix="0" xfId="0">
      <alignment horizontal="left" vertical="center" wrapText="1"/>
    </xf>
    <xf numFmtId="164" fontId="12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58" customWidth="1" min="3" max="3"/>
    <col width="18" customWidth="1" min="4" max="4"/>
    <col width="18" customWidth="1" min="5" max="5"/>
    <col width="22" customWidth="1" min="6" max="6"/>
  </cols>
  <sheetData>
    <row r="1">
      <c r="B1" s="1" t="inlineStr">
        <is>
          <t>SmartSoft - Tally on Cloud (Microsoft Azure)</t>
        </is>
      </c>
    </row>
    <row r="2">
      <c r="B2" s="2" t="inlineStr">
        <is>
          <t>Cost-optimised price list - 1-Year Azure Reserved Instance + 50% RDS bundle</t>
        </is>
      </c>
    </row>
    <row r="3">
      <c r="B3" s="3" t="inlineStr">
        <is>
          <t>All amounts in INR. GST (18% IGST) extra. Indicative pricing - final figures locked at PO.</t>
        </is>
      </c>
    </row>
    <row r="5" ht="22" customHeight="1">
      <c r="B5" s="4" t="inlineStr">
        <is>
          <t>A.  Base Infra Cost - fixed per environment (1-Year Reserved Instance)</t>
        </is>
      </c>
    </row>
    <row r="6" ht="28" customHeight="1">
      <c r="B6" s="5" t="inlineStr">
        <is>
          <t>Line item</t>
        </is>
      </c>
      <c r="C6" s="5" t="inlineStr">
        <is>
          <t>Specification</t>
        </is>
      </c>
      <c r="D6" s="6" t="inlineStr">
        <is>
          <t>Monthly (INR)</t>
        </is>
      </c>
      <c r="E6" s="6" t="inlineStr">
        <is>
          <t>Annual (INR)</t>
        </is>
      </c>
      <c r="F6" s="6" t="inlineStr">
        <is>
          <t>Notes</t>
        </is>
      </c>
    </row>
    <row r="7" ht="22" customHeight="1">
      <c r="B7" s="7" t="inlineStr">
        <is>
          <t>Azure VM (RI)</t>
        </is>
      </c>
      <c r="C7" s="8" t="inlineStr">
        <is>
          <t>Standard D4s v5 - 4 vCPU / 16 GB RAM, Windows licence-included, Central India</t>
        </is>
      </c>
      <c r="D7" s="9" t="n">
        <v>11000</v>
      </c>
      <c r="E7" s="9" t="n">
        <v>132000</v>
      </c>
      <c r="F7" s="10" t="inlineStr">
        <is>
          <t>1-Year Reserved Instance</t>
        </is>
      </c>
    </row>
    <row r="8" ht="22" customHeight="1">
      <c r="B8" s="11" t="inlineStr">
        <is>
          <t>OS managed disk</t>
        </is>
      </c>
      <c r="C8" s="12" t="inlineStr">
        <is>
          <t>Premium SSD P10 - 128 GB</t>
        </is>
      </c>
      <c r="D8" s="13" t="n">
        <v>1500</v>
      </c>
      <c r="E8" s="13" t="n">
        <v>17100</v>
      </c>
      <c r="F8" s="14" t="inlineStr"/>
    </row>
    <row r="9" ht="22" customHeight="1">
      <c r="B9" s="7" t="inlineStr">
        <is>
          <t>Networking</t>
        </is>
      </c>
      <c r="C9" s="8" t="inlineStr">
        <is>
          <t>Static public IP, RDS Gateway, 50 GB egress/month</t>
        </is>
      </c>
      <c r="D9" s="9" t="n">
        <v>500</v>
      </c>
      <c r="E9" s="9" t="n">
        <v>5700</v>
      </c>
      <c r="F9" s="10" t="inlineStr"/>
    </row>
    <row r="10" ht="22" customHeight="1">
      <c r="B10" s="15" t="inlineStr">
        <is>
          <t>BASE INFRA - TOTAL</t>
        </is>
      </c>
      <c r="C10" s="15" t="inlineStr">
        <is>
          <t>Optimised configuration</t>
        </is>
      </c>
      <c r="D10" s="16" t="n">
        <v>13000</v>
      </c>
      <c r="E10" s="16" t="n">
        <v>154800</v>
      </c>
      <c r="F10" s="17" t="inlineStr">
        <is>
          <t>vs Rs.25,500/mo PAYG</t>
        </is>
      </c>
    </row>
    <row r="12" ht="22" customHeight="1">
      <c r="B12" s="4" t="inlineStr">
        <is>
          <t>B.  Per-User Charge - per concurrent Tally user (RDS at 50% bundle rate)</t>
        </is>
      </c>
    </row>
    <row r="13" ht="28" customHeight="1">
      <c r="B13" s="5" t="inlineStr">
        <is>
          <t>Line item</t>
        </is>
      </c>
      <c r="C13" s="5" t="inlineStr">
        <is>
          <t>What it covers</t>
        </is>
      </c>
      <c r="D13" s="6" t="inlineStr">
        <is>
          <t>Monthly / user</t>
        </is>
      </c>
      <c r="E13" s="6" t="inlineStr">
        <is>
          <t>Annual / user</t>
        </is>
      </c>
      <c r="F13" s="6" t="inlineStr">
        <is>
          <t>Notes</t>
        </is>
      </c>
    </row>
    <row r="14" ht="22" customHeight="1">
      <c r="B14" s="7" t="inlineStr">
        <is>
          <t>RDS User CAL</t>
        </is>
      </c>
      <c r="C14" s="8" t="inlineStr">
        <is>
          <t>Microsoft RDS User CAL (SPLA, amortized monthly)</t>
        </is>
      </c>
      <c r="D14" s="9" t="n">
        <v>175</v>
      </c>
      <c r="E14" s="9" t="n">
        <v>1995</v>
      </c>
      <c r="F14" s="10" t="inlineStr">
        <is>
          <t>50% bundle rate (vs Rs.350 list)</t>
        </is>
      </c>
    </row>
    <row r="15" ht="22" customHeight="1">
      <c r="B15" s="11" t="inlineStr">
        <is>
          <t>L1 helpdesk &amp; support</t>
        </is>
      </c>
      <c r="C15" s="12" t="inlineStr">
        <is>
          <t>Ticket + remote-takeover support, business hours</t>
        </is>
      </c>
      <c r="D15" s="13" t="n">
        <v>400</v>
      </c>
      <c r="E15" s="13" t="n">
        <v>4560</v>
      </c>
      <c r="F15" s="14" t="inlineStr"/>
    </row>
    <row r="16" ht="22" customHeight="1">
      <c r="B16" s="7" t="inlineStr">
        <is>
          <t>Implementation amortized</t>
        </is>
      </c>
      <c r="C16" s="8" t="inlineStr">
        <is>
          <t>One-time Rs.75,000 spread across first 12 months</t>
        </is>
      </c>
      <c r="D16" s="9" t="n">
        <v>200</v>
      </c>
      <c r="E16" s="9" t="n">
        <v>2280</v>
      </c>
      <c r="F16" s="10" t="inlineStr"/>
    </row>
    <row r="17" ht="22" customHeight="1">
      <c r="B17" s="11" t="inlineStr">
        <is>
          <t>User storage allowance</t>
        </is>
      </c>
      <c r="C17" s="12" t="inlineStr">
        <is>
          <t>10 GB profile + export storage per user</t>
        </is>
      </c>
      <c r="D17" s="13" t="n">
        <v>50</v>
      </c>
      <c r="E17" s="13" t="n">
        <v>570</v>
      </c>
      <c r="F17" s="14" t="inlineStr"/>
    </row>
    <row r="18" ht="22" customHeight="1">
      <c r="B18" s="15" t="inlineStr">
        <is>
          <t>PER USER - TOTAL</t>
        </is>
      </c>
      <c r="C18" s="15" t="inlineStr">
        <is>
          <t>Optimised</t>
        </is>
      </c>
      <c r="D18" s="16" t="n">
        <v>825</v>
      </c>
      <c r="E18" s="16" t="n">
        <v>9405</v>
      </c>
      <c r="F18" s="17" t="inlineStr"/>
    </row>
    <row r="20" ht="22" customHeight="1">
      <c r="B20" s="4" t="inlineStr">
        <is>
          <t>C.  One-time charges - paid once at project start (waived as introductory offer)</t>
        </is>
      </c>
    </row>
    <row r="21" ht="28" customHeight="1">
      <c r="B21" s="5" t="inlineStr">
        <is>
          <t>Line item</t>
        </is>
      </c>
      <c r="C21" s="5" t="inlineStr">
        <is>
          <t>Scope</t>
        </is>
      </c>
      <c r="D21" s="6" t="inlineStr">
        <is>
          <t>One-time (INR)</t>
        </is>
      </c>
      <c r="E21" s="6" t="inlineStr"/>
      <c r="F21" s="6" t="inlineStr">
        <is>
          <t>Notes</t>
        </is>
      </c>
    </row>
    <row r="22" ht="22" customHeight="1">
      <c r="B22" s="7" t="inlineStr">
        <is>
          <t>Environment provisioning</t>
        </is>
      </c>
      <c r="C22" s="8" t="inlineStr">
        <is>
          <t>Azure subscription, VM build, disks, backup vault, networking, security baseline</t>
        </is>
      </c>
      <c r="D22" s="9" t="n">
        <v>35000</v>
      </c>
      <c r="E22" s="8" t="inlineStr"/>
      <c r="F22" s="8" t="inlineStr"/>
    </row>
    <row r="23" ht="22" customHeight="1">
      <c r="B23" s="11" t="inlineStr">
        <is>
          <t>Tally data migration</t>
        </is>
      </c>
      <c r="C23" s="12" t="inlineStr">
        <is>
          <t>Copy existing companies to hosted VM, integrity verification, cut-over plan</t>
        </is>
      </c>
      <c r="D23" s="13" t="n">
        <v>15000</v>
      </c>
      <c r="E23" s="12" t="inlineStr"/>
      <c r="F23" s="12" t="inlineStr"/>
    </row>
    <row r="24" ht="22" customHeight="1">
      <c r="B24" s="7" t="inlineStr">
        <is>
          <t>User training</t>
        </is>
      </c>
      <c r="C24" s="8" t="inlineStr">
        <is>
          <t>2-hour session: RDP login, file transfer, do's &amp; don'ts</t>
        </is>
      </c>
      <c r="D24" s="9" t="n">
        <v>5000</v>
      </c>
      <c r="E24" s="8" t="inlineStr"/>
      <c r="F24" s="8" t="inlineStr"/>
    </row>
    <row r="25" ht="22" customHeight="1">
      <c r="B25" s="15" t="inlineStr">
        <is>
          <t>ONE-TIME - TOTAL (WAIVED)</t>
        </is>
      </c>
      <c r="C25" s="15" t="inlineStr">
        <is>
          <t>Introductory offer - customer pays Rs. 0</t>
        </is>
      </c>
      <c r="D25" s="16" t="n">
        <v>0</v>
      </c>
      <c r="E25" s="15" t="inlineStr"/>
      <c r="F25" s="15" t="inlineStr">
        <is>
          <t>List: Rs.55,000 - waived</t>
        </is>
      </c>
    </row>
    <row r="27" ht="22" customHeight="1">
      <c r="B27" s="4" t="inlineStr">
        <is>
          <t>D.  Worked example - 12 users (annual, ex GST)</t>
        </is>
      </c>
    </row>
    <row r="28" ht="28" customHeight="1">
      <c r="B28" s="5" t="inlineStr">
        <is>
          <t>User band</t>
        </is>
      </c>
      <c r="C28" s="5" t="inlineStr">
        <is>
          <t>Calculation</t>
        </is>
      </c>
      <c r="D28" s="6" t="inlineStr">
        <is>
          <t>Monthly (INR)</t>
        </is>
      </c>
      <c r="E28" s="6" t="inlineStr">
        <is>
          <t>Annual (INR)</t>
        </is>
      </c>
      <c r="F28" s="6" t="inlineStr">
        <is>
          <t>Notes</t>
        </is>
      </c>
    </row>
    <row r="29" ht="22" customHeight="1">
      <c r="B29" s="7" t="inlineStr">
        <is>
          <t>12 users - list</t>
        </is>
      </c>
      <c r="C29" s="8" t="inlineStr">
        <is>
          <t>Base 1,54,800 + (12 x 9,405)</t>
        </is>
      </c>
      <c r="D29" s="9" t="n">
        <v>22305</v>
      </c>
      <c r="E29" s="9" t="n">
        <v>267660</v>
      </c>
      <c r="F29" s="10" t="inlineStr">
        <is>
          <t>List price</t>
        </is>
      </c>
    </row>
    <row r="30" ht="22" customHeight="1">
      <c r="B30" s="11" t="inlineStr">
        <is>
          <t>12 users - introductory offer</t>
        </is>
      </c>
      <c r="C30" s="12" t="inlineStr">
        <is>
          <t>Discounted introductory bundle</t>
        </is>
      </c>
      <c r="D30" s="13" t="n">
        <v>16500</v>
      </c>
      <c r="E30" s="13" t="n">
        <v>198000</v>
      </c>
      <c r="F30" s="14" t="inlineStr">
        <is>
          <t>Saves ~Rs.69,660 / year</t>
        </is>
      </c>
    </row>
    <row r="33" ht="22" customHeight="1">
      <c r="B33" s="4" t="inlineStr">
        <is>
          <t>E.  Optional add-ons</t>
        </is>
      </c>
    </row>
    <row r="34" ht="28" customHeight="1">
      <c r="B34" s="5" t="inlineStr">
        <is>
          <t>Add-on</t>
        </is>
      </c>
      <c r="C34" s="5" t="inlineStr">
        <is>
          <t>Description</t>
        </is>
      </c>
      <c r="D34" s="6" t="inlineStr">
        <is>
          <t>Recurring</t>
        </is>
      </c>
      <c r="E34" s="6" t="inlineStr">
        <is>
          <t>One-time</t>
        </is>
      </c>
      <c r="F34" s="6" t="inlineStr">
        <is>
          <t>Unit</t>
        </is>
      </c>
    </row>
    <row r="35" ht="22" customHeight="1">
      <c r="B35" s="7" t="inlineStr">
        <is>
          <t>Microsoft 365 Business Standard</t>
        </is>
      </c>
      <c r="C35" s="8" t="inlineStr">
        <is>
          <t>Outlook/Word/Excel/PowerPoint/OneDrive inside hosted session</t>
        </is>
      </c>
      <c r="D35" s="9" t="n">
        <v>530</v>
      </c>
      <c r="E35" s="9" t="n">
        <v>0</v>
      </c>
      <c r="F35" s="10" t="inlineStr">
        <is>
          <t>/ user / month</t>
        </is>
      </c>
    </row>
    <row r="36" ht="22" customHeight="1">
      <c r="B36" s="11" t="inlineStr">
        <is>
          <t>Power BI Pro + Tally connector</t>
        </is>
      </c>
      <c r="C36" s="12" t="inlineStr">
        <is>
          <t>Power BI Pro CAL + ODBC connector + starter dashboards</t>
        </is>
      </c>
      <c r="D36" s="13" t="n">
        <v>950</v>
      </c>
      <c r="E36" s="13" t="n">
        <v>40000</v>
      </c>
      <c r="F36" s="14" t="inlineStr">
        <is>
          <t>/ user / month + one-time</t>
        </is>
      </c>
    </row>
    <row r="37" ht="22" customHeight="1">
      <c r="B37" s="7" t="inlineStr">
        <is>
          <t>Additional data disk +256 GB</t>
        </is>
      </c>
      <c r="C37" s="8" t="inlineStr">
        <is>
          <t>Premium SSD block, expandable without downtime</t>
        </is>
      </c>
      <c r="D37" s="9" t="n">
        <v>3000</v>
      </c>
      <c r="E37" s="9" t="n">
        <v>0</v>
      </c>
      <c r="F37" s="10" t="inlineStr">
        <is>
          <t>/ month</t>
        </is>
      </c>
    </row>
    <row r="38" ht="22" customHeight="1">
      <c r="B38" s="11" t="inlineStr">
        <is>
          <t>Additional data disk +512 GB</t>
        </is>
      </c>
      <c r="C38" s="12" t="inlineStr">
        <is>
          <t>Premium SSD block, expandable without downtime</t>
        </is>
      </c>
      <c r="D38" s="13" t="n">
        <v>5500</v>
      </c>
      <c r="E38" s="13" t="n">
        <v>0</v>
      </c>
      <c r="F38" s="14" t="inlineStr">
        <is>
          <t>/ month</t>
        </is>
      </c>
    </row>
    <row r="39" ht="22" customHeight="1">
      <c r="B39" s="7" t="inlineStr">
        <is>
          <t>Managed EDR on hosted VM</t>
        </is>
      </c>
      <c r="C39" s="8" t="inlineStr">
        <is>
          <t>Sophos Intercept X with EDR + SmartSoft Tier-1 triage</t>
        </is>
      </c>
      <c r="D39" s="9" t="n">
        <v>2200</v>
      </c>
      <c r="E39" s="9" t="n">
        <v>0</v>
      </c>
      <c r="F39" s="10" t="inlineStr">
        <is>
          <t>/ month / server</t>
        </is>
      </c>
    </row>
    <row r="42" ht="22" customHeight="1">
      <c r="B42" s="4" t="inlineStr">
        <is>
          <t>F.  Savings vs PAYG / list pricing</t>
        </is>
      </c>
    </row>
    <row r="43" ht="28" customHeight="1">
      <c r="B43" s="5" t="inlineStr">
        <is>
          <t>Savings driver</t>
        </is>
      </c>
      <c r="C43" s="5" t="inlineStr">
        <is>
          <t>Mechanism</t>
        </is>
      </c>
      <c r="D43" s="6" t="inlineStr">
        <is>
          <t>Monthly saving</t>
        </is>
      </c>
      <c r="E43" s="6" t="inlineStr">
        <is>
          <t>Annual saving</t>
        </is>
      </c>
      <c r="F43" s="6" t="inlineStr">
        <is>
          <t>Notes</t>
        </is>
      </c>
    </row>
    <row r="44" ht="22" customHeight="1">
      <c r="B44" s="7" t="inlineStr">
        <is>
          <t>Azure VM 1-Year RI</t>
        </is>
      </c>
      <c r="C44" s="8" t="inlineStr">
        <is>
          <t>Reserved Instance prepayment vs pay-as-you-go</t>
        </is>
      </c>
      <c r="D44" s="9" t="n">
        <v>12500</v>
      </c>
      <c r="E44" s="9" t="n">
        <v>150000</v>
      </c>
      <c r="F44" s="10" t="inlineStr">
        <is>
          <t>Locked for 12 months</t>
        </is>
      </c>
    </row>
    <row r="45" ht="22" customHeight="1">
      <c r="B45" s="11" t="inlineStr">
        <is>
          <t>RDS User CAL bundle</t>
        </is>
      </c>
      <c r="C45" s="12" t="inlineStr">
        <is>
          <t>50% subsidised rate vs SPLA list (Rs.350 -&gt; Rs.175) - per user</t>
        </is>
      </c>
      <c r="D45" s="13" t="n">
        <v>175</v>
      </c>
      <c r="E45" s="13" t="n">
        <v>2100</v>
      </c>
      <c r="F45" s="14" t="inlineStr">
        <is>
          <t>Scales with user count</t>
        </is>
      </c>
    </row>
    <row r="46" ht="22" customHeight="1">
      <c r="B46" s="7" t="inlineStr">
        <is>
          <t>3-Year RI option</t>
        </is>
      </c>
      <c r="C46" s="8" t="inlineStr">
        <is>
          <t>Additional saving over 1-year RI (illustrative)</t>
        </is>
      </c>
      <c r="D46" s="9" t="n">
        <v>1600</v>
      </c>
      <c r="E46" s="9" t="n">
        <v>19200</v>
      </c>
      <c r="F46" s="10" t="inlineStr">
        <is>
          <t>On request</t>
        </is>
      </c>
    </row>
    <row r="49">
      <c r="B49" s="18" t="inlineStr">
        <is>
          <t>Assumptions &amp; notes</t>
        </is>
      </c>
    </row>
    <row r="50">
      <c r="B50" s="19" t="inlineStr">
        <is>
          <t>-  Tally Prime / TallyPrime Server licences are client-supplied; not included.</t>
        </is>
      </c>
    </row>
    <row r="51">
      <c r="B51" s="19" t="inlineStr">
        <is>
          <t>-  GST (18% IGST) extra on all line items.</t>
        </is>
      </c>
    </row>
    <row r="52">
      <c r="B52" s="19" t="inlineStr">
        <is>
          <t>-  Azure pricing indicative as of issue date; final quotation locked at PO. &gt;5% movement in list price or USD/INR FX may trigger refresh.</t>
        </is>
      </c>
    </row>
    <row r="53">
      <c r="B53" s="19" t="inlineStr">
        <is>
          <t>-  Minimum term: 12 months from go-live. Per-user count revisable upward at any time; downward at next quarter.</t>
        </is>
      </c>
    </row>
    <row r="54">
      <c r="B54" s="19" t="inlineStr">
        <is>
          <t>-  Base sizing (D4s v5) is comfortable up to ~25 concurrent users. Larger user counts require a re-quote with a bigger VM.</t>
        </is>
      </c>
    </row>
    <row r="55">
      <c r="B55" s="19" t="inlineStr">
        <is>
          <t>-  RDS 50% bundle rate is offered under SmartSoft's hosted-Tally package and is not transferable.</t>
        </is>
      </c>
    </row>
  </sheetData>
  <mergeCells count="12">
    <mergeCell ref="B53:F53"/>
    <mergeCell ref="B12:F12"/>
    <mergeCell ref="B55:F55"/>
    <mergeCell ref="B54:F54"/>
    <mergeCell ref="B20:F20"/>
    <mergeCell ref="B33:F33"/>
    <mergeCell ref="B42:F42"/>
    <mergeCell ref="B5:F5"/>
    <mergeCell ref="B51:F51"/>
    <mergeCell ref="B50:F50"/>
    <mergeCell ref="B27:F27"/>
    <mergeCell ref="B52:F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22" customWidth="1" min="3" max="3"/>
    <col width="22" customWidth="1" min="4" max="4"/>
    <col width="35" customWidth="1" min="5" max="5"/>
  </cols>
  <sheetData>
    <row r="1">
      <c r="B1" s="1" t="inlineStr">
        <is>
          <t>Tally on Cloud - Cost Calculator</t>
        </is>
      </c>
    </row>
    <row r="2">
      <c r="B2" s="2" t="inlineStr">
        <is>
          <t>Enter user count in the yellow cell. All other figures auto-calculate.</t>
        </is>
      </c>
    </row>
    <row r="4" ht="28" customHeight="1">
      <c r="B4" s="18" t="inlineStr">
        <is>
          <t>Number of concurrent users</t>
        </is>
      </c>
      <c r="C4" s="20" t="n">
        <v>10</v>
      </c>
    </row>
    <row r="6" ht="24" customHeight="1">
      <c r="B6" s="21" t="inlineStr">
        <is>
          <t>Component</t>
        </is>
      </c>
      <c r="C6" s="22" t="inlineStr">
        <is>
          <t>Monthly (INR)</t>
        </is>
      </c>
      <c r="D6" s="22" t="inlineStr">
        <is>
          <t>Annual (INR)</t>
        </is>
      </c>
      <c r="E6" s="21" t="inlineStr">
        <is>
          <t>Notes</t>
        </is>
      </c>
    </row>
    <row r="7" ht="20" customHeight="1">
      <c r="B7" s="8" t="inlineStr">
        <is>
          <t>Azure VM (D4s v5, 1-Year RI)</t>
        </is>
      </c>
      <c r="C7" s="9" t="n">
        <v>11000</v>
      </c>
      <c r="D7" s="9" t="n">
        <v>132000</v>
      </c>
      <c r="E7" s="8" t="inlineStr">
        <is>
          <t>Reserved Instance</t>
        </is>
      </c>
    </row>
    <row r="8" ht="20" customHeight="1">
      <c r="B8" s="12" t="inlineStr">
        <is>
          <t>OS disk P10</t>
        </is>
      </c>
      <c r="C8" s="13" t="n">
        <v>1500</v>
      </c>
      <c r="D8" s="13" t="n">
        <v>17100</v>
      </c>
      <c r="E8" s="12" t="inlineStr"/>
    </row>
    <row r="9" ht="20" customHeight="1">
      <c r="B9" s="8" t="inlineStr">
        <is>
          <t>Networking (static IP, RDS Gateway, egress)</t>
        </is>
      </c>
      <c r="C9" s="9" t="n">
        <v>500</v>
      </c>
      <c r="D9" s="9" t="n">
        <v>5700</v>
      </c>
      <c r="E9" s="8" t="inlineStr"/>
    </row>
    <row r="10" ht="20" customHeight="1">
      <c r="B10" s="7" t="inlineStr">
        <is>
          <t>Base Infra subtotal</t>
        </is>
      </c>
      <c r="C10" s="23">
        <f>SUM(C7:C9)</f>
        <v/>
      </c>
      <c r="D10" s="23">
        <f>SUM(D7:D9)</f>
        <v/>
      </c>
      <c r="E10" s="7" t="inlineStr">
        <is>
          <t>Fixed regardless of user count</t>
        </is>
      </c>
    </row>
    <row r="11" ht="20" customHeight="1">
      <c r="B11" s="12" t="inlineStr">
        <is>
          <t>Per-user charge (RDS + helpdesk + impl + storage)</t>
        </is>
      </c>
      <c r="C11" s="13" t="n">
        <v>825</v>
      </c>
      <c r="D11" s="13" t="n">
        <v>9405</v>
      </c>
      <c r="E11" s="12" t="inlineStr">
        <is>
          <t>RDS at 50% bundle rate</t>
        </is>
      </c>
    </row>
    <row r="12" ht="20" customHeight="1">
      <c r="B12" s="7" t="inlineStr">
        <is>
          <t>Per-user total (C4 users)</t>
        </is>
      </c>
      <c r="C12" s="23">
        <f>825*C4</f>
        <v/>
      </c>
      <c r="D12" s="23">
        <f>9405*C4</f>
        <v/>
      </c>
      <c r="E12" s="7" t="inlineStr">
        <is>
          <t>Scales with user count</t>
        </is>
      </c>
    </row>
    <row r="13" ht="20" customHeight="1">
      <c r="B13" s="24" t="inlineStr">
        <is>
          <t>SUBTOTAL (Base + Users)</t>
        </is>
      </c>
      <c r="C13" s="25">
        <f>C10+C12</f>
        <v/>
      </c>
      <c r="D13" s="25">
        <f>D10+D12</f>
        <v/>
      </c>
      <c r="E13" s="24" t="inlineStr">
        <is>
          <t>Ex GST</t>
        </is>
      </c>
    </row>
    <row r="14" ht="20" customHeight="1">
      <c r="B14" s="12" t="inlineStr">
        <is>
          <t>GST @ 18%</t>
        </is>
      </c>
      <c r="C14" s="13">
        <f>C13*0.18</f>
        <v/>
      </c>
      <c r="D14" s="13">
        <f>D13*0.18</f>
        <v/>
      </c>
      <c r="E14" s="12" t="inlineStr"/>
    </row>
    <row r="15" ht="20" customHeight="1">
      <c r="B15" s="24" t="inlineStr">
        <is>
          <t>TOTAL incl. GST</t>
        </is>
      </c>
      <c r="C15" s="25">
        <f>C13+C14</f>
        <v/>
      </c>
      <c r="D15" s="25">
        <f>D13+D14</f>
        <v/>
      </c>
      <c r="E15" s="24" t="inlineStr">
        <is>
          <t>Recurring</t>
        </is>
      </c>
    </row>
    <row r="17">
      <c r="B17" s="18" t="inlineStr">
        <is>
          <t>One-time charges (paid once at project start)</t>
        </is>
      </c>
    </row>
    <row r="18" ht="20" customHeight="1">
      <c r="B18" s="8" t="inlineStr">
        <is>
          <t>One-time setup (waived as introductory offer)</t>
        </is>
      </c>
      <c r="C18" s="9" t="inlineStr"/>
      <c r="D18" s="9" t="n">
        <v>0</v>
      </c>
      <c r="E18" s="8" t="inlineStr">
        <is>
          <t>List Rs.55,000 - waived</t>
        </is>
      </c>
    </row>
    <row r="19" ht="20" customHeight="1">
      <c r="B19" s="12" t="inlineStr">
        <is>
          <t>GST @ 18% on one-time</t>
        </is>
      </c>
      <c r="C19" s="13" t="inlineStr"/>
      <c r="D19" s="13">
        <f>D18*0.18</f>
        <v/>
      </c>
      <c r="E19" s="12" t="inlineStr"/>
    </row>
    <row r="20" ht="20" customHeight="1">
      <c r="B20" s="24" t="inlineStr">
        <is>
          <t>One-time TOTAL incl. GST</t>
        </is>
      </c>
      <c r="C20" s="25" t="inlineStr"/>
      <c r="D20" s="25">
        <f>D18+D19</f>
        <v/>
      </c>
      <c r="E20" s="24" t="inlineStr"/>
    </row>
    <row r="23">
      <c r="B23" s="18" t="inlineStr">
        <is>
          <t>Optional add-ons (enable as needed)</t>
        </is>
      </c>
    </row>
    <row r="24" ht="22" customHeight="1">
      <c r="B24" s="21" t="inlineStr">
        <is>
          <t>Add-on</t>
        </is>
      </c>
      <c r="C24" s="21" t="inlineStr">
        <is>
          <t>Per user / month</t>
        </is>
      </c>
      <c r="D24" s="21" t="inlineStr">
        <is>
          <t>Per env / month</t>
        </is>
      </c>
      <c r="E24" s="21" t="inlineStr">
        <is>
          <t>Description</t>
        </is>
      </c>
    </row>
    <row r="25">
      <c r="B25" s="7" t="inlineStr">
        <is>
          <t>Microsoft 365 Business Standard</t>
        </is>
      </c>
      <c r="C25" s="9" t="n">
        <v>530</v>
      </c>
      <c r="D25" s="10" t="inlineStr"/>
      <c r="E25" s="8" t="inlineStr">
        <is>
          <t>M365 apps + OneDrive inside hosted session</t>
        </is>
      </c>
    </row>
    <row r="26">
      <c r="B26" s="11" t="inlineStr">
        <is>
          <t>Power BI Pro + Tally connector</t>
        </is>
      </c>
      <c r="C26" s="13" t="n">
        <v>950</v>
      </c>
      <c r="D26" s="14" t="inlineStr"/>
      <c r="E26" s="12" t="inlineStr">
        <is>
          <t>+ Rs.40,000 one-time dashboard build</t>
        </is>
      </c>
    </row>
    <row r="27">
      <c r="B27" s="7" t="inlineStr">
        <is>
          <t>Additional data disk +256 GB</t>
        </is>
      </c>
      <c r="C27" s="10" t="inlineStr"/>
      <c r="D27" s="9" t="n">
        <v>3000</v>
      </c>
      <c r="E27" s="8" t="inlineStr">
        <is>
          <t>Premium SSD block</t>
        </is>
      </c>
    </row>
    <row r="28">
      <c r="B28" s="11" t="inlineStr">
        <is>
          <t>Managed EDR on hosted VM</t>
        </is>
      </c>
      <c r="C28" s="14" t="inlineStr"/>
      <c r="D28" s="13" t="n">
        <v>2200</v>
      </c>
      <c r="E28" s="12" t="inlineStr">
        <is>
          <t>Sophos Intercept X with EDR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2026-05-29T11:55:24Z</dcterms:created>
  <dcterms:modified xmlns:dcterms="http://purl.org/dc/terms/" xmlns:xsi="http://www.w3.org/2001/XMLSchema-instance" xsi:type="dcterms:W3CDTF">2026-05-29T11:55:24Z</dcterms:modified>
</cp:coreProperties>
</file>